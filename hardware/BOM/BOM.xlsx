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 project" sheetId="1" r:id="rId4"/>
  </sheets>
  <definedNames>
    <definedName hidden="1" localSheetId="0" name="Z_F587A555_F0E0_4FB0_96E9_59445FDA65C3_.wvu.FilterData">'pe project'!$A$1:$G$18</definedName>
  </definedNames>
  <calcPr/>
  <customWorkbookViews>
    <customWorkbookView activeSheetId="0" maximized="1" windowHeight="0" windowWidth="0" guid="{F587A555-F0E0-4FB0-96E9-59445FDA65C3}" name="Filter 1"/>
  </customWorkbookViews>
  <extLst>
    <ext uri="GoogleSheetsCustomDataVersion2">
      <go:sheetsCustomData xmlns:go="http://customooxmlschemas.google.com/" r:id="rId5" roundtripDataChecksum="uz8I6E7DKsr9zFrnTlFJaMVOn/QMTHOmEu+2Gc5Voao="/>
    </ext>
  </extLst>
</workbook>
</file>

<file path=xl/sharedStrings.xml><?xml version="1.0" encoding="utf-8"?>
<sst xmlns="http://schemas.openxmlformats.org/spreadsheetml/2006/main" count="73" uniqueCount="58">
  <si>
    <t>Sr. No</t>
  </si>
  <si>
    <t>Comment</t>
  </si>
  <si>
    <t>Designator</t>
  </si>
  <si>
    <t>Quantity</t>
  </si>
  <si>
    <t>Manufacturer URL</t>
  </si>
  <si>
    <t>Supplier</t>
  </si>
  <si>
    <t>Price of each component (INR)</t>
  </si>
  <si>
    <t>Price of total needed component (INR)</t>
  </si>
  <si>
    <t>2.2K 1206</t>
  </si>
  <si>
    <t>R177</t>
  </si>
  <si>
    <t>https://robu.in/product/frc1206f2201ts-fojan-250mw-thick-film-resistors-200v-%c2%b1100ppm-%e2%84%83-%c2%b11-2-2k%cf%89-1206-chip-resistor-surface-mount-rohs</t>
  </si>
  <si>
    <t>ROBU</t>
  </si>
  <si>
    <t>12R 1206</t>
  </si>
  <si>
    <t>R171, R173</t>
  </si>
  <si>
    <t>https://robu.in/product/rc1206fr-0712rl-yageo-smd-chip-resistor-12-ohm-%c2%b1-1-250-mw-1206-3216-metric-thick-film-general-purpose</t>
  </si>
  <si>
    <t>10K 1206</t>
  </si>
  <si>
    <t>R174, R175, R176</t>
  </si>
  <si>
    <t>https://robu.in/product/cr1206j10k0p05z-ever-ohms-tech-250mw-thick-film-resistor-%c2%b1100ppm-%e2%84%83-%c2%b15-10k%cf%89-1206-chip-resistor-surface-mount-rohs</t>
  </si>
  <si>
    <t>150R 1206</t>
  </si>
  <si>
    <t>R259</t>
  </si>
  <si>
    <t>https://robu.in/product/rc1206fr-07150rl-yageo-250mw-thick-film-resistors-200v-%c2%b1100ppm-%e2%84%83-%c2%b11-150%cf%89-1206-chip-resistor-surface-mount-rohs</t>
  </si>
  <si>
    <t>510R 1206</t>
  </si>
  <si>
    <t>R255, R257</t>
  </si>
  <si>
    <t>https://robu.in/product/rc1206fr-07510rl-yageo-res-thick-film-1206-510-ohm-1-0-25w1-4w-%c2%b1100ppm-c-pad-smd-t-r</t>
  </si>
  <si>
    <t>0.1uf 1206</t>
  </si>
  <si>
    <t>C127, C157, C161, C162, C158</t>
  </si>
  <si>
    <t>https://robu.in/product/ac1206kkx7r0bb104-yageo-cap-ceramic-0-1uf-100v-x7r-10-pad-smd-1206-125c-automotive-aec-q200-t-r</t>
  </si>
  <si>
    <t>SMD LED 0603</t>
  </si>
  <si>
    <t xml:space="preserve">D3, D4 </t>
  </si>
  <si>
    <t>https://robu.in/product/everlight-1-5mm-blue-smd-led-pack-of-10</t>
  </si>
  <si>
    <t>AMC1200</t>
  </si>
  <si>
    <t>U32</t>
  </si>
  <si>
    <t>https://robu.in/product/amc1311bqdwvrq1-texas-instruments-soic-8-300mil-special-purpose-amplifiers-rohs</t>
  </si>
  <si>
    <t>MCP6002</t>
  </si>
  <si>
    <t>U37</t>
  </si>
  <si>
    <t>https://robu.in/product/mcp6002-i-sn-microchip-tech-2-1pa-600v-ms-4-5mv-soic-8-operational-amplifier-rohs</t>
  </si>
  <si>
    <t>L7805 DIP-3</t>
  </si>
  <si>
    <t>CR5</t>
  </si>
  <si>
    <t>https://robu.in/product/1-month-warranty-441</t>
  </si>
  <si>
    <t>LD1117</t>
  </si>
  <si>
    <t>CR2 (Regulator)</t>
  </si>
  <si>
    <t>https://robu.in/product/1-month-warranty-1381</t>
  </si>
  <si>
    <t>470uf DIP</t>
  </si>
  <si>
    <t>C183</t>
  </si>
  <si>
    <t>https://robu.in/product/uvr1c471mpd1td-nichicon-470uf-16v-%c2%b120-440ma120hz-plugin-aluminum-electrolytic-capacitors-leaded-rohs</t>
  </si>
  <si>
    <t>100uf 1206</t>
  </si>
  <si>
    <t>C155</t>
  </si>
  <si>
    <t>https://robu.in/product/grm31cr61a107mea8l-murata-electronics-10v-100uf-x5r-%c2%b120-1206-multilayer-ceramic-capacitors-mlcc-smd-smt-rohs</t>
  </si>
  <si>
    <t>330pf 1206</t>
  </si>
  <si>
    <t>C122, C126</t>
  </si>
  <si>
    <t>https://robu.in/product/330pf-1206-surface-mount-multilayer-ceramic-capacitor-pack-of-30</t>
  </si>
  <si>
    <t>2-Pin Terminal</t>
  </si>
  <si>
    <t>X1-2, B1-2</t>
  </si>
  <si>
    <t>https://robu.in/product/2-pin-7-5-mm-pcb-terminal-block</t>
  </si>
  <si>
    <t>620K Resistor</t>
  </si>
  <si>
    <t>R178, R179, R180, R185, R186, R187</t>
  </si>
  <si>
    <t>https://robu.in/product/wr12x624jtl-walsin-250mw-thick-film-resistors-200v-%c2%b1100ppm-%e2%84%83-%c2%b15-620k%cf%89-1206-chip-resistor-surface-mount-rohs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</si>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</sst>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Verdana"/>
      <scheme val="minor"/>
    </font>
    <font>
      <sz val="12.0"/>
      <color rgb="FFFFFFFF"/>
      <name val="Times New Roman"/>
    </font>
    <font>
      <sz val="12.0"/>
      <color theme="1"/>
      <name val="Times New Roman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1A1A1A"/>
      <name val="Arial"/>
    </font>
    <font>
      <u/>
      <sz val="11.0"/>
      <color rgb="FF0000FF"/>
      <name val="Arial"/>
    </font>
    <font>
      <b/>
      <sz val="13.0"/>
      <color theme="1"/>
      <name val="Arial"/>
    </font>
    <font/>
    <font>
      <b/>
      <sz val="11.0"/>
      <color rgb="FF1A1A1A"/>
      <name val="Arial"/>
    </font>
    <font>
      <b/>
      <sz val="11.0"/>
      <color theme="1"/>
      <name val="Arial"/>
    </font>
    <font>
      <b/>
      <color theme="1"/>
      <name val="Verdana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3" fontId="8" numFmtId="0" xfId="0" applyBorder="1" applyFont="1"/>
    <xf borderId="4" fillId="3" fontId="8" numFmtId="0" xfId="0" applyBorder="1" applyFont="1"/>
    <xf borderId="1" fillId="3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1-month-warranty-1381" TargetMode="External"/><Relationship Id="rId10" Type="http://schemas.openxmlformats.org/officeDocument/2006/relationships/hyperlink" Target="https://robu.in/product/1-month-warranty-441" TargetMode="External"/><Relationship Id="rId13" Type="http://schemas.openxmlformats.org/officeDocument/2006/relationships/hyperlink" Target="https://robu.in/product/grm31cr61a107mea8l-murata-electronics-10v-100uf-x5r-%c2%b120-1206-multilayer-ceramic-capacitors-mlcc-smd-smt-rohs" TargetMode="External"/><Relationship Id="rId12" Type="http://schemas.openxmlformats.org/officeDocument/2006/relationships/hyperlink" Target="https://robu.in/product/uvr1c471mpd1td-nichicon-470uf-16v-%c2%b120-440ma120hz-plugin-aluminum-electrolytic-capacitors-leaded-rohs" TargetMode="External"/><Relationship Id="rId1" Type="http://schemas.openxmlformats.org/officeDocument/2006/relationships/hyperlink" Target="https://robu.in/product/frc1206f2201ts-fojan-250mw-thick-film-resistors-200v-%c2%b1100ppm-%e2%84%83-%c2%b11-2-2k%cf%89-1206-chip-resistor-surface-mount-rohs" TargetMode="External"/><Relationship Id="rId2" Type="http://schemas.openxmlformats.org/officeDocument/2006/relationships/hyperlink" Target="https://robu.in/product/rc1206fr-0712rl-yageo-smd-chip-resistor-12-ohm-%c2%b1-1-250-mw-1206-3216-metric-thick-film-general-purpose" TargetMode="External"/><Relationship Id="rId3" Type="http://schemas.openxmlformats.org/officeDocument/2006/relationships/hyperlink" Target="https://robu.in/product/cr1206j10k0p05z-ever-ohms-tech-250mw-thick-film-resistor-%c2%b1100ppm-%e2%84%83-%c2%b15-10k%cf%89-1206-chip-resistor-surface-mount-rohs" TargetMode="External"/><Relationship Id="rId4" Type="http://schemas.openxmlformats.org/officeDocument/2006/relationships/hyperlink" Target="https://robu.in/product/rc1206fr-07150rl-yageo-250mw-thick-film-resistors-200v-%c2%b1100ppm-%e2%84%83-%c2%b11-150%cf%89-1206-chip-resistor-surface-mount-rohs" TargetMode="External"/><Relationship Id="rId9" Type="http://schemas.openxmlformats.org/officeDocument/2006/relationships/hyperlink" Target="https://robu.in/product/mcp6002-i-sn-microchip-tech-2-1pa-600v-ms-4-5mv-soic-8-operational-amplifier-rohs" TargetMode="External"/><Relationship Id="rId15" Type="http://schemas.openxmlformats.org/officeDocument/2006/relationships/hyperlink" Target="https://robu.in/product/2-pin-7-5-mm-pcb-terminal-block" TargetMode="External"/><Relationship Id="rId14" Type="http://schemas.openxmlformats.org/officeDocument/2006/relationships/hyperlink" Target="https://robu.in/product/330pf-1206-surface-mount-multilayer-ceramic-capacitor-pack-of-30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robu.in/product/wr12x624jtl-walsin-250mw-thick-film-resistors-200v-%c2%b1100ppm-%e2%84%83-%c2%b15-620k%cf%89-1206-chip-resistor-surface-mount-rohs" TargetMode="External"/><Relationship Id="rId5" Type="http://schemas.openxmlformats.org/officeDocument/2006/relationships/hyperlink" Target="https://robu.in/product/rc1206fr-07510rl-yageo-res-thick-film-1206-510-ohm-1-0-25w1-4w-%c2%b1100ppm-c-pad-smd-t-r" TargetMode="External"/><Relationship Id="rId6" Type="http://schemas.openxmlformats.org/officeDocument/2006/relationships/hyperlink" Target="https://robu.in/product/ac1206kkx7r0bb104-yageo-cap-ceramic-0-1uf-100v-x7r-10-pad-smd-1206-125c-automotive-aec-q200-t-r" TargetMode="External"/><Relationship Id="rId7" Type="http://schemas.openxmlformats.org/officeDocument/2006/relationships/hyperlink" Target="https://robu.in/product/everlight-1-5mm-blue-smd-led-pack-of-10" TargetMode="External"/><Relationship Id="rId8" Type="http://schemas.openxmlformats.org/officeDocument/2006/relationships/hyperlink" Target="https://robu.in/product/amc1311bqdwvrq1-texas-instruments-soic-8-300mil-special-purpose-amplifiers-ro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44"/>
    <col customWidth="1" min="2" max="2" width="20.11"/>
    <col customWidth="1" min="3" max="3" width="30.78"/>
    <col customWidth="1" min="4" max="4" width="12.0"/>
    <col customWidth="1" min="5" max="5" width="14.56"/>
    <col customWidth="1" min="6" max="6" width="16.11"/>
    <col customWidth="1" min="7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2.5" customHeight="1">
      <c r="A2" s="4">
        <v>1.0</v>
      </c>
      <c r="B2" s="4" t="s">
        <v>8</v>
      </c>
      <c r="C2" s="5" t="s">
        <v>9</v>
      </c>
      <c r="D2" s="6">
        <v>2.0</v>
      </c>
      <c r="E2" s="7" t="s">
        <v>10</v>
      </c>
      <c r="F2" s="8" t="s">
        <v>11</v>
      </c>
      <c r="G2" s="8">
        <v>0.18</v>
      </c>
      <c r="H2" s="8">
        <f t="shared" ref="H2:H17" si="1">D2*G2</f>
        <v>0.36</v>
      </c>
    </row>
    <row r="3" ht="22.5" customHeight="1">
      <c r="A3" s="9">
        <v>2.0</v>
      </c>
      <c r="B3" s="9" t="s">
        <v>12</v>
      </c>
      <c r="C3" s="10" t="s">
        <v>13</v>
      </c>
      <c r="D3" s="11">
        <v>4.0</v>
      </c>
      <c r="E3" s="12" t="s">
        <v>14</v>
      </c>
      <c r="F3" s="13" t="s">
        <v>11</v>
      </c>
      <c r="G3" s="13">
        <v>0.24</v>
      </c>
      <c r="H3" s="13">
        <f t="shared" si="1"/>
        <v>0.96</v>
      </c>
    </row>
    <row r="4" ht="22.5" customHeight="1">
      <c r="A4" s="4">
        <v>3.0</v>
      </c>
      <c r="B4" s="4" t="s">
        <v>15</v>
      </c>
      <c r="C4" s="5" t="s">
        <v>16</v>
      </c>
      <c r="D4" s="4">
        <v>3.0</v>
      </c>
      <c r="E4" s="7" t="s">
        <v>17</v>
      </c>
      <c r="F4" s="8" t="s">
        <v>11</v>
      </c>
      <c r="G4" s="8">
        <v>0.75</v>
      </c>
      <c r="H4" s="8">
        <f t="shared" si="1"/>
        <v>2.25</v>
      </c>
    </row>
    <row r="5" ht="22.5" customHeight="1">
      <c r="A5" s="9">
        <v>4.0</v>
      </c>
      <c r="B5" s="9" t="s">
        <v>18</v>
      </c>
      <c r="C5" s="10" t="s">
        <v>19</v>
      </c>
      <c r="D5" s="9">
        <v>1.0</v>
      </c>
      <c r="E5" s="12" t="s">
        <v>20</v>
      </c>
      <c r="F5" s="13" t="s">
        <v>11</v>
      </c>
      <c r="G5" s="13">
        <v>0.43</v>
      </c>
      <c r="H5" s="13">
        <f t="shared" si="1"/>
        <v>0.43</v>
      </c>
    </row>
    <row r="6" ht="22.5" customHeight="1">
      <c r="A6" s="4">
        <v>5.0</v>
      </c>
      <c r="B6" s="4" t="s">
        <v>21</v>
      </c>
      <c r="C6" s="5" t="s">
        <v>22</v>
      </c>
      <c r="D6" s="4">
        <v>2.0</v>
      </c>
      <c r="E6" s="7" t="s">
        <v>23</v>
      </c>
      <c r="F6" s="8" t="s">
        <v>11</v>
      </c>
      <c r="G6" s="8">
        <v>0.24</v>
      </c>
      <c r="H6" s="8">
        <f t="shared" si="1"/>
        <v>0.48</v>
      </c>
    </row>
    <row r="7" ht="22.5" customHeight="1">
      <c r="A7" s="9">
        <v>6.0</v>
      </c>
      <c r="B7" s="9" t="s">
        <v>24</v>
      </c>
      <c r="C7" s="14" t="s">
        <v>25</v>
      </c>
      <c r="D7" s="11">
        <v>7.0</v>
      </c>
      <c r="E7" s="12" t="s">
        <v>26</v>
      </c>
      <c r="F7" s="13" t="s">
        <v>11</v>
      </c>
      <c r="G7" s="13">
        <v>3.0</v>
      </c>
      <c r="H7" s="13">
        <f t="shared" si="1"/>
        <v>21</v>
      </c>
    </row>
    <row r="8" ht="22.5" customHeight="1">
      <c r="A8" s="4">
        <v>7.0</v>
      </c>
      <c r="B8" s="4" t="s">
        <v>27</v>
      </c>
      <c r="C8" s="15" t="s">
        <v>28</v>
      </c>
      <c r="D8" s="6">
        <v>2.0</v>
      </c>
      <c r="E8" s="7" t="s">
        <v>29</v>
      </c>
      <c r="F8" s="8" t="s">
        <v>11</v>
      </c>
      <c r="G8" s="8">
        <v>1.41</v>
      </c>
      <c r="H8" s="8">
        <f t="shared" si="1"/>
        <v>2.82</v>
      </c>
    </row>
    <row r="9" ht="22.5" customHeight="1">
      <c r="A9" s="9">
        <v>8.0</v>
      </c>
      <c r="B9" s="9" t="s">
        <v>30</v>
      </c>
      <c r="C9" s="10" t="s">
        <v>31</v>
      </c>
      <c r="D9" s="9">
        <v>1.0</v>
      </c>
      <c r="E9" s="12" t="s">
        <v>32</v>
      </c>
      <c r="F9" s="13" t="s">
        <v>11</v>
      </c>
      <c r="G9" s="13">
        <v>252.0</v>
      </c>
      <c r="H9" s="13">
        <f t="shared" si="1"/>
        <v>252</v>
      </c>
    </row>
    <row r="10" ht="22.5" customHeight="1">
      <c r="A10" s="4">
        <v>10.0</v>
      </c>
      <c r="B10" s="4" t="s">
        <v>33</v>
      </c>
      <c r="C10" s="15" t="s">
        <v>34</v>
      </c>
      <c r="D10" s="6">
        <v>1.0</v>
      </c>
      <c r="E10" s="7" t="s">
        <v>35</v>
      </c>
      <c r="F10" s="8" t="s">
        <v>11</v>
      </c>
      <c r="G10" s="8">
        <v>41.0</v>
      </c>
      <c r="H10" s="8">
        <f t="shared" si="1"/>
        <v>41</v>
      </c>
    </row>
    <row r="11" ht="22.5" customHeight="1">
      <c r="A11" s="9">
        <v>11.0</v>
      </c>
      <c r="B11" s="9" t="s">
        <v>36</v>
      </c>
      <c r="C11" s="10" t="s">
        <v>37</v>
      </c>
      <c r="D11" s="9">
        <v>1.0</v>
      </c>
      <c r="E11" s="12" t="s">
        <v>38</v>
      </c>
      <c r="F11" s="13" t="s">
        <v>11</v>
      </c>
      <c r="G11" s="13">
        <v>30.0</v>
      </c>
      <c r="H11" s="13">
        <f t="shared" si="1"/>
        <v>30</v>
      </c>
    </row>
    <row r="12" ht="22.5" customHeight="1">
      <c r="A12" s="4">
        <v>12.0</v>
      </c>
      <c r="B12" s="4" t="s">
        <v>39</v>
      </c>
      <c r="C12" s="5" t="s">
        <v>40</v>
      </c>
      <c r="D12" s="4">
        <v>1.0</v>
      </c>
      <c r="E12" s="7" t="s">
        <v>41</v>
      </c>
      <c r="F12" s="8" t="s">
        <v>11</v>
      </c>
      <c r="G12" s="8">
        <v>19.0</v>
      </c>
      <c r="H12" s="8">
        <f t="shared" si="1"/>
        <v>19</v>
      </c>
    </row>
    <row r="13" ht="22.5" customHeight="1">
      <c r="A13" s="9">
        <v>13.0</v>
      </c>
      <c r="B13" s="9" t="s">
        <v>42</v>
      </c>
      <c r="C13" s="10" t="s">
        <v>43</v>
      </c>
      <c r="D13" s="9">
        <v>1.0</v>
      </c>
      <c r="E13" s="12" t="s">
        <v>44</v>
      </c>
      <c r="F13" s="13" t="s">
        <v>11</v>
      </c>
      <c r="G13" s="13">
        <v>13.0</v>
      </c>
      <c r="H13" s="13">
        <f t="shared" si="1"/>
        <v>13</v>
      </c>
    </row>
    <row r="14" ht="22.5" customHeight="1">
      <c r="A14" s="4">
        <v>14.0</v>
      </c>
      <c r="B14" s="6" t="s">
        <v>45</v>
      </c>
      <c r="C14" s="5" t="s">
        <v>46</v>
      </c>
      <c r="D14" s="4">
        <v>1.0</v>
      </c>
      <c r="E14" s="7" t="s">
        <v>47</v>
      </c>
      <c r="F14" s="8" t="s">
        <v>11</v>
      </c>
      <c r="G14" s="8">
        <v>20.0</v>
      </c>
      <c r="H14" s="8">
        <f t="shared" si="1"/>
        <v>20</v>
      </c>
    </row>
    <row r="15" ht="22.5" customHeight="1">
      <c r="A15" s="9">
        <v>15.0</v>
      </c>
      <c r="B15" s="9" t="s">
        <v>48</v>
      </c>
      <c r="C15" s="10" t="s">
        <v>49</v>
      </c>
      <c r="D15" s="9">
        <v>2.0</v>
      </c>
      <c r="E15" s="12" t="s">
        <v>50</v>
      </c>
      <c r="F15" s="13" t="s">
        <v>11</v>
      </c>
      <c r="G15" s="13">
        <v>2.08</v>
      </c>
      <c r="H15" s="13">
        <f t="shared" si="1"/>
        <v>4.16</v>
      </c>
    </row>
    <row r="16" ht="22.5" customHeight="1">
      <c r="A16" s="4">
        <v>16.0</v>
      </c>
      <c r="B16" s="4" t="s">
        <v>51</v>
      </c>
      <c r="C16" s="5" t="s">
        <v>52</v>
      </c>
      <c r="D16" s="6">
        <v>3.0</v>
      </c>
      <c r="E16" s="7" t="s">
        <v>53</v>
      </c>
      <c r="F16" s="8" t="s">
        <v>11</v>
      </c>
      <c r="G16" s="8">
        <v>11.0</v>
      </c>
      <c r="H16" s="8">
        <f t="shared" si="1"/>
        <v>33</v>
      </c>
    </row>
    <row r="17" ht="22.5" customHeight="1">
      <c r="A17" s="9">
        <v>17.0</v>
      </c>
      <c r="B17" s="9" t="s">
        <v>54</v>
      </c>
      <c r="C17" s="10" t="s">
        <v>55</v>
      </c>
      <c r="D17" s="9">
        <v>6.0</v>
      </c>
      <c r="E17" s="12" t="s">
        <v>56</v>
      </c>
      <c r="F17" s="13" t="s">
        <v>11</v>
      </c>
      <c r="G17" s="13">
        <v>0.15</v>
      </c>
      <c r="H17" s="13">
        <f t="shared" si="1"/>
        <v>0.9</v>
      </c>
    </row>
    <row r="18" ht="22.5" customHeight="1">
      <c r="A18" s="16" t="s">
        <v>57</v>
      </c>
      <c r="B18" s="17"/>
      <c r="C18" s="18"/>
      <c r="D18" s="19">
        <v>32.0</v>
      </c>
      <c r="E18" s="20"/>
      <c r="F18" s="21"/>
      <c r="G18" s="21">
        <f t="shared" ref="G18:H18" si="2">SUM(G2:G17)</f>
        <v>394.48</v>
      </c>
      <c r="H18" s="21">
        <f t="shared" si="2"/>
        <v>441.36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/>
    <row r="20" ht="15.75" customHeight="1"/>
    <row r="21" ht="15.75" customHeight="1"/>
    <row r="22" ht="15.75" customHeight="1"/>
    <row r="23" ht="15.75" customHeight="1">
      <c r="B23" s="23"/>
      <c r="C23" s="23"/>
    </row>
    <row r="24" ht="15.75" customHeight="1">
      <c r="B24" s="24"/>
      <c r="C24" s="23"/>
    </row>
    <row r="25" ht="15.75" customHeight="1">
      <c r="B25" s="24"/>
      <c r="C25" s="23"/>
    </row>
    <row r="26" ht="15.75" customHeight="1">
      <c r="B26" s="24"/>
      <c r="C26" s="23"/>
    </row>
    <row r="27" ht="15.75" customHeight="1">
      <c r="B27" s="24"/>
      <c r="C27" s="23"/>
    </row>
    <row r="28" ht="15.75" customHeight="1">
      <c r="B28" s="24"/>
      <c r="C28" s="23"/>
    </row>
    <row r="29" ht="15.75" customHeight="1">
      <c r="B29" s="24"/>
      <c r="C29" s="23"/>
    </row>
    <row r="30" ht="15.75" customHeight="1">
      <c r="B30" s="24"/>
      <c r="C30" s="23"/>
    </row>
    <row r="31" ht="15.75" customHeight="1">
      <c r="B31" s="24"/>
      <c r="C31" s="23"/>
    </row>
    <row r="32" ht="15.75" customHeight="1">
      <c r="B32" s="24"/>
      <c r="C32" s="23"/>
    </row>
    <row r="33" ht="15.75" customHeight="1">
      <c r="B33" s="24"/>
      <c r="C33" s="23"/>
    </row>
    <row r="34" ht="15.75" customHeight="1">
      <c r="B34" s="24"/>
      <c r="C34" s="23"/>
    </row>
    <row r="35" ht="15.75" customHeight="1">
      <c r="B35" s="24"/>
      <c r="C35" s="23"/>
    </row>
    <row r="36" ht="15.75" customHeight="1">
      <c r="B36" s="24"/>
      <c r="C36" s="23"/>
    </row>
    <row r="37" ht="15.75" customHeight="1">
      <c r="B37" s="24"/>
      <c r="C37" s="23"/>
    </row>
    <row r="38" ht="15.75" customHeight="1">
      <c r="B38" s="24"/>
      <c r="C38" s="23"/>
    </row>
    <row r="39" ht="15.75" customHeight="1">
      <c r="B39" s="24"/>
      <c r="C39" s="2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</sheetData>
  <customSheetViews>
    <customSheetView guid="{F587A555-F0E0-4FB0-96E9-59445FDA65C3}" filter="1" showAutoFilter="1">
      <autoFilter ref="$A$1:$G$18"/>
      <extLst>
        <ext uri="GoogleSheetsCustomDataVersion1">
          <go:sheetsCustomData xmlns:go="http://customooxmlschemas.google.com/" filterViewId="1338084825"/>
        </ext>
      </extLst>
    </customSheetView>
  </customSheetViews>
  <mergeCells count="1">
    <mergeCell ref="A18:C18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</worksheet>
</file>